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x20umf\Documents\GitHub\165-todo-app\"/>
    </mc:Choice>
  </mc:AlternateContent>
  <xr:revisionPtr revIDLastSave="0" documentId="13_ncr:1_{8974BDBE-72C8-4FEA-8481-30E260F80DF4}" xr6:coauthVersionLast="47" xr6:coauthVersionMax="47" xr10:uidLastSave="{00000000-0000-0000-0000-000000000000}"/>
  <bookViews>
    <workbookView xWindow="5280" yWindow="3660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<sst xmlns="http://schemas.openxmlformats.org/spreadsheetml/2006/main" count="46" uniqueCount="36">
  <si>
    <t>Journal de travail</t>
  </si>
  <si>
    <t>Auteur:</t>
  </si>
  <si>
    <t>Bormin Kiril</t>
  </si>
  <si>
    <t>Projet:</t>
  </si>
  <si>
    <t>P_UX - Festival Étudiant</t>
  </si>
  <si>
    <t>Temps total:</t>
  </si>
  <si>
    <t>Date:</t>
  </si>
  <si>
    <t>05 sept 2025 à 8h00 au 10 octobre 2025 à 17h25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</si>
  <si>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</si>
  <si>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</si>
  <si>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</si>
  <si>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</si>
  <si>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</si>
  <si>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</si>
  <si>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</si>
  <si>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</si>
  <si>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</si>
  <si>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</si>
  <si>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</si>
  <si>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</si>
  <si>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</si>
  <si>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</si>
  <si>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</si>
  <si>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</si>
  <si>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</si>
  <si>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</si>
  <si>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</si>
  <si>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</si>
  <si>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</si>
  <si>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</si>
  <si>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</si>
  <si>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</si>
  <si>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 xml:space="preserve">Mettre en place l'app, lire le cdc </t>
  </si>
  <si>
    <t>Remplacer mysql par mongodb dans tout l'app</t>
  </si>
  <si>
    <t>Configurer la partie api (backend)</t>
  </si>
  <si>
    <t>Configuration des controlleurs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</si>
</sst>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180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7" activePane="bottomLeft" state="frozen"/>
      <selection pane="bottomLeft" activeCell="B11" sqref="B11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4</v>
      </c>
    </row>
    <row r="3" spans="1:15" ht="23.25" x14ac:dyDescent="0.35">
      <c r="A3" s="86" t="s">
        <v>5</v>
      </c>
      <c r="B3" s="86"/>
      <c r="C3" s="67" t="str">
        <f>QUOTIENT(E4,60)&amp;" heures "&amp;MOD(E4,60)&amp;" minutes"</f>
        <v>3 heures 0 minutes</v>
      </c>
      <c r="D3" s="17"/>
      <c r="E3" s="3"/>
      <c r="F3" s="4" t="s">
        <v>6</v>
      </c>
      <c r="G3" s="65" t="s">
        <v>7</v>
      </c>
    </row>
    <row r="4" spans="1:15" ht="23.25" hidden="1" x14ac:dyDescent="0.35">
      <c r="B4" s="5"/>
      <c r="C4" s="17">
        <f>SUBTOTAL(9,$C$7:$C$531)*60</f>
        <v>60</v>
      </c>
      <c r="D4" s="17">
        <f>SUBTOTAL(9,$D$7:$D$531)</f>
        <v>120</v>
      </c>
      <c r="E4" s="24">
        <f>SUM(C4:D4)</f>
        <v>180</v>
      </c>
      <c r="F4" s="4"/>
      <c r="G4" s="6"/>
    </row>
    <row r="5" spans="1:15" x14ac:dyDescent="0.25">
      <c r="C5" s="85" t="s">
        <v>8</v>
      </c>
      <c r="D5" s="85"/>
    </row>
    <row r="6" spans="1:15" s="15" customFormat="1" ht="20.100000000000001" customHeight="1" x14ac:dyDescent="0.3">
      <c r="A6" s="13" t="s">
        <v>9</v>
      </c>
      <c r="B6" s="21" t="s">
        <v>10</v>
      </c>
      <c r="C6" s="25" t="s">
        <v>11</v>
      </c>
      <c r="D6" s="16" t="s">
        <v>12</v>
      </c>
      <c r="E6" s="14" t="s">
        <v>13</v>
      </c>
      <c r="F6" s="14" t="s">
        <v>14</v>
      </c>
      <c r="G6" s="14" t="s">
        <v>15</v>
      </c>
    </row>
    <row r="7" spans="1:15" x14ac:dyDescent="0.25">
      <c r="A7" s="61">
        <f>IF(ISBLANK(B7),"",_xlfn.ISOWEEKNUM('Journal de travail'!$B7))</f>
        <v>14</v>
      </c>
      <c r="B7" s="26">
        <v>46111</v>
      </c>
      <c r="C7" s="27"/>
      <c r="D7" s="28">
        <v>30</v>
      </c>
      <c r="E7" s="29" t="s">
        <v>17</v>
      </c>
      <c r="F7" s="23" t="s">
        <v>32</v>
      </c>
      <c r="G7" s="38"/>
    </row>
    <row r="8" spans="1:15" x14ac:dyDescent="0.25">
      <c r="A8" s="62">
        <f>IF(ISBLANK(B8),"",_xlfn.ISOWEEKNUM('Journal de travail'!$B8))</f>
        <v>17</v>
      </c>
      <c r="B8" s="30">
        <v>46132</v>
      </c>
      <c r="C8" s="31">
        <v>1</v>
      </c>
      <c r="D8" s="32">
        <v>20</v>
      </c>
      <c r="E8" s="33" t="s">
        <v>17</v>
      </c>
      <c r="F8" s="23" t="s">
        <v>33</v>
      </c>
      <c r="G8" s="39"/>
      <c r="M8" t="s">
        <v>16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17</v>
      </c>
      <c r="B9" s="34">
        <v>46132</v>
      </c>
      <c r="C9" s="35"/>
      <c r="D9" s="36">
        <v>40</v>
      </c>
      <c r="E9" s="37" t="s">
        <v>17</v>
      </c>
      <c r="F9" s="23" t="s">
        <v>34</v>
      </c>
      <c r="G9" s="40"/>
      <c r="M9" t="s">
        <v>17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17</v>
      </c>
      <c r="B10" s="30">
        <v>46132</v>
      </c>
      <c r="C10" s="31"/>
      <c r="D10" s="32">
        <v>30</v>
      </c>
      <c r="E10" s="33" t="s">
        <v>17</v>
      </c>
      <c r="F10" s="23" t="s">
        <v>35</v>
      </c>
      <c r="G10" s="39"/>
      <c r="M10" t="s">
        <v>18</v>
      </c>
      <c r="N10">
        <v>3</v>
      </c>
      <c r="O10">
        <v>10</v>
      </c>
    </row>
    <row r="11" spans="1:15" x14ac:dyDescent="0.25">
      <c r="A11" s="63" t="str">
        <f>IF(ISBLANK(B11),"",_xlfn.ISOWEEKNUM('Journal de travail'!$B11))</f>
        <v/>
      </c>
      <c r="B11" s="34"/>
      <c r="C11" s="35"/>
      <c r="D11" s="36"/>
      <c r="E11" s="37"/>
      <c r="F11" s="23"/>
      <c r="G11" s="40"/>
      <c r="M11" t="s">
        <v>19</v>
      </c>
      <c r="N11">
        <v>4</v>
      </c>
      <c r="O11">
        <v>15</v>
      </c>
    </row>
    <row r="12" spans="1:15" x14ac:dyDescent="0.25">
      <c r="A12" s="62" t="str">
        <f>IF(ISBLANK(B12),"",_xlfn.ISOWEEKNUM('Journal de travail'!$B12))</f>
        <v/>
      </c>
      <c r="B12" s="30"/>
      <c r="C12" s="31"/>
      <c r="D12" s="32"/>
      <c r="E12" s="33"/>
      <c r="F12" s="23"/>
      <c r="G12" s="39"/>
      <c r="M12" t="s">
        <v>20</v>
      </c>
      <c r="N12">
        <v>5</v>
      </c>
      <c r="O12">
        <v>20</v>
      </c>
    </row>
    <row r="13" spans="1:15" x14ac:dyDescent="0.25">
      <c r="A13" s="63" t="str">
        <f>IF(ISBLANK(B13),"",_xlfn.ISOWEEKNUM('Journal de travail'!$B13))</f>
        <v/>
      </c>
      <c r="B13" s="34"/>
      <c r="C13" s="35"/>
      <c r="D13" s="36"/>
      <c r="E13" s="37"/>
      <c r="F13" s="23"/>
      <c r="G13" s="40"/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/>
      <c r="E14" s="33"/>
      <c r="F14" s="23"/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21</v>
      </c>
      <c r="F2" s="68">
        <v>90</v>
      </c>
      <c r="G2" s="66" t="s">
        <v>22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23</v>
      </c>
      <c r="L4" s="66" t="s">
        <v>24</v>
      </c>
      <c r="M4" s="41"/>
      <c r="N4" s="19"/>
    </row>
    <row r="5" spans="1:14" x14ac:dyDescent="0.3">
      <c r="A5" t="s">
        <v>25</v>
      </c>
      <c r="B5" t="s">
        <v>26</v>
      </c>
      <c r="C5" s="41" t="s">
        <v>27</v>
      </c>
      <c r="D5" s="42"/>
      <c r="E5" s="45" t="s">
        <v>28</v>
      </c>
      <c r="F5" s="46" t="s">
        <v>29</v>
      </c>
      <c r="G5" s="47" t="s">
        <v>30</v>
      </c>
      <c r="L5" s="48" t="s">
        <v>28</v>
      </c>
      <c r="M5" s="49" t="s">
        <v>29</v>
      </c>
      <c r="N5" s="50" t="s">
        <v>30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60</v>
      </c>
      <c r="B7">
        <f>SUMIF('Journal de travail'!$E$7:$E$532,Plannification!E7,'Journal de travail'!$D$7:$D$532)</f>
        <v>120</v>
      </c>
      <c r="C7">
        <f t="shared" si="0"/>
        <v>180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3 h 00 min</v>
      </c>
      <c r="G7" s="75">
        <f t="shared" ref="G7:G9" si="2">SUM(A7:B7)/$C$11</f>
        <v>1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7" t="str">
        <f>'Journal de travail'!M11</f>
        <v>Documentation</v>
      </c>
      <c r="F9" s="74" t="str">
        <f t="shared" si="1"/>
        <v>0 h 00 min</v>
      </c>
      <c r="G9" s="75">
        <f t="shared" si="2"/>
        <v>0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20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20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60</v>
      </c>
      <c r="B11">
        <f>SUM(B6:B10)</f>
        <v>120</v>
      </c>
      <c r="C11">
        <f>SUM(A11:B11)</f>
        <v>180</v>
      </c>
      <c r="E11" s="81" t="s">
        <v>31</v>
      </c>
      <c r="F11" s="71" t="str">
        <f t="shared" si="1"/>
        <v>3 h 00 min</v>
      </c>
      <c r="G11" s="82">
        <f>C11/C12</f>
        <v>3.3333333333333333E-2</v>
      </c>
      <c r="L11" s="56" t="s">
        <v>31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Props1.xml><?xml version="1.0" encoding="utf-8"?>
<ds:datastoreItem xmlns:ds="http://schemas.openxmlformats.org/officeDocument/2006/customXml" ds:itemID="{1424D28F-D6A9-45ED-AED5-A0D744400E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www.w3.org/XML/1998/namespace"/>
    <ds:schemaRef ds:uri="http://purl.org/dc/terms/"/>
    <ds:schemaRef ds:uri="http://purl.org/dc/dcmitype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Kiril Bormin</cp:lastModifiedBy>
  <cp:revision/>
  <dcterms:created xsi:type="dcterms:W3CDTF">2023-11-21T20:00:34Z</dcterms:created>
  <dcterms:modified xsi:type="dcterms:W3CDTF">2026-04-27T09:23:54Z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