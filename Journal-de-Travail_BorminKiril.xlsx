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wnloads\"/>
    </mc:Choice>
  </mc:AlternateContent>
  <xr:revisionPtr revIDLastSave="0" documentId="13_ncr:1_{BFEC4849-CB12-4B13-AB19-F79BD3F2B95D}" xr6:coauthVersionLast="47" xr6:coauthVersionMax="47" xr10:uidLastSave="{00000000-0000-0000-0000-000000000000}"/>
  <bookViews>
    <workbookView xWindow="33105" yWindow="238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<sst xmlns="http://schemas.openxmlformats.org/spreadsheetml/2006/main" count="66" uniqueCount="46">
  <si>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</si>
  <si>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</si>
  <si>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</si>
  <si>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</si>
  <si>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</si>
  <si>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</si>
  <si>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</si>
  <si>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</si>
  <si>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</si>
  <si>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</si>
  <si>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</si>
  <si>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</si>
  <si>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</si>
  <si>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</si>
  <si>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</si>
  <si>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</si>
  <si>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</si>
  <si>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</si>
  <si>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</si>
  <si>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</si>
  <si>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</si>
  <si>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</si>
  <si>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</si>
  <si>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</si>
  <si>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</si>
  <si>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</si>
  <si>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</si>
  <si>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</si>
  <si>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</si>
  <si>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</si>
  <si>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 xml:space="preserve">Mettre en place l'app, lire le cdc </t>
  </si>
  <si>
    <t>Remplacer mysql par mongodb dans tout l'app</t>
  </si>
  <si>
    <t>Configurer la partie api (backend)</t>
  </si>
  <si>
    <t>Configuration des controlleurs</t>
  </si>
  <si>
    <t>Debug de la partie ajout de tâches [WIP]</t>
  </si>
  <si>
    <t>P_DB_165 – TodoApp</t>
  </si>
  <si>
    <t>Du 30.03.2026 au 18.05.2026</t>
  </si>
  <si>
    <t>Fixer l'ajout des tâches (store et controller)</t>
  </si>
  <si>
    <t xml:space="preserve">Ajout d'utilisateurs spécifiques </t>
  </si>
  <si>
    <t>Mise en place de nouveau frontend</t>
  </si>
  <si>
    <t>Ajout des readmes</t>
  </si>
  <si>
    <t>Corriger le format des dates et effacer le contenu de input après avoir ajouté une tâche</t>
  </si>
  <si>
    <t>Debug du docker (les ports)</t>
  </si>
  <si>
    <t>Ajout d'utilisateurs spécifiques dans un fichier séparé qui s'exicute lors de docker compose</t>
  </si>
  <si>
    <t>Mise à jour de jdt</t>
  </si>
  <si>
    <t>Remplir le jdt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</si>
</sst>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520</c:v>
                </c:pt>
                <c:pt idx="2">
                  <c:v>0</c:v>
                </c:pt>
                <c:pt idx="3">
                  <c:v>20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0.96296296296296291</c:v>
                </c:pt>
                <c:pt idx="2">
                  <c:v>0</c:v>
                </c:pt>
                <c:pt idx="3">
                  <c:v>3.7037037037037035E-2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23" sqref="F23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35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9 heures 0 minutes</v>
      </c>
      <c r="D3" s="17"/>
      <c r="E3" s="3"/>
      <c r="F3" s="4" t="s">
        <v>5</v>
      </c>
      <c r="G3" s="65" t="s">
        <v>36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420</v>
      </c>
      <c r="E4" s="24">
        <f>SUM(C4:D4)</f>
        <v>540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14</v>
      </c>
      <c r="B7" s="26">
        <v>46111</v>
      </c>
      <c r="C7" s="27"/>
      <c r="D7" s="28">
        <v>30</v>
      </c>
      <c r="E7" s="29" t="s">
        <v>15</v>
      </c>
      <c r="F7" s="23" t="s">
        <v>30</v>
      </c>
      <c r="G7" s="38"/>
    </row>
    <row r="8" spans="1:15" x14ac:dyDescent="0.25">
      <c r="A8" s="62">
        <f>IF(ISBLANK(B8),"",_xlfn.ISOWEEKNUM('Journal de travail'!$B8))</f>
        <v>17</v>
      </c>
      <c r="B8" s="30">
        <v>46132</v>
      </c>
      <c r="C8" s="31">
        <v>1</v>
      </c>
      <c r="D8" s="32">
        <v>20</v>
      </c>
      <c r="E8" s="33" t="s">
        <v>15</v>
      </c>
      <c r="F8" s="23" t="s">
        <v>31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17</v>
      </c>
      <c r="B9" s="34">
        <v>46132</v>
      </c>
      <c r="C9" s="35"/>
      <c r="D9" s="36">
        <v>40</v>
      </c>
      <c r="E9" s="37" t="s">
        <v>15</v>
      </c>
      <c r="F9" s="23" t="s">
        <v>32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17</v>
      </c>
      <c r="B10" s="30">
        <v>46132</v>
      </c>
      <c r="C10" s="31"/>
      <c r="D10" s="32">
        <v>50</v>
      </c>
      <c r="E10" s="33" t="s">
        <v>15</v>
      </c>
      <c r="F10" s="23" t="s">
        <v>33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18</v>
      </c>
      <c r="B11" s="34">
        <v>46139</v>
      </c>
      <c r="C11" s="35">
        <v>1</v>
      </c>
      <c r="D11" s="36">
        <v>40</v>
      </c>
      <c r="E11" s="37" t="s">
        <v>15</v>
      </c>
      <c r="F11" s="23" t="s">
        <v>34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18</v>
      </c>
      <c r="B12" s="30">
        <v>46139</v>
      </c>
      <c r="C12" s="31"/>
      <c r="D12" s="32">
        <v>10</v>
      </c>
      <c r="E12" s="33" t="s">
        <v>17</v>
      </c>
      <c r="F12" s="23" t="s">
        <v>45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19</v>
      </c>
      <c r="B13" s="34">
        <v>46147</v>
      </c>
      <c r="C13" s="35"/>
      <c r="D13" s="36">
        <v>50</v>
      </c>
      <c r="E13" s="37" t="s">
        <v>15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19</v>
      </c>
      <c r="B14" s="30">
        <v>46147</v>
      </c>
      <c r="C14" s="31"/>
      <c r="D14" s="32">
        <v>30</v>
      </c>
      <c r="E14" s="33" t="s">
        <v>15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19</v>
      </c>
      <c r="B15" s="34">
        <v>46147</v>
      </c>
      <c r="C15" s="35"/>
      <c r="D15" s="36">
        <v>20</v>
      </c>
      <c r="E15" s="37" t="s">
        <v>15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19</v>
      </c>
      <c r="B16" s="30">
        <v>46147</v>
      </c>
      <c r="C16" s="31"/>
      <c r="D16" s="32">
        <v>30</v>
      </c>
      <c r="E16" s="33" t="s">
        <v>15</v>
      </c>
      <c r="F16" s="23" t="s">
        <v>40</v>
      </c>
      <c r="G16" s="39"/>
      <c r="O16">
        <v>40</v>
      </c>
    </row>
    <row r="17" spans="1:15" x14ac:dyDescent="0.25">
      <c r="A17" s="63">
        <f>IF(ISBLANK(B17),"",_xlfn.ISOWEEKNUM('Journal de travail'!$B17))</f>
        <v>20</v>
      </c>
      <c r="B17" s="34">
        <v>46153</v>
      </c>
      <c r="C17" s="35"/>
      <c r="D17" s="36">
        <v>30</v>
      </c>
      <c r="E17" s="37" t="s">
        <v>15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20</v>
      </c>
      <c r="B18" s="30">
        <v>46153</v>
      </c>
      <c r="C18" s="31"/>
      <c r="D18" s="32">
        <v>20</v>
      </c>
      <c r="E18" s="33" t="s">
        <v>15</v>
      </c>
      <c r="F18" s="23" t="s">
        <v>42</v>
      </c>
      <c r="G18" s="39"/>
      <c r="O18">
        <v>50</v>
      </c>
    </row>
    <row r="19" spans="1:15" x14ac:dyDescent="0.25">
      <c r="A19" s="63">
        <f>IF(ISBLANK(B19),"",_xlfn.ISOWEEKNUM('Journal de travail'!$B19))</f>
        <v>20</v>
      </c>
      <c r="B19" s="34">
        <v>46153</v>
      </c>
      <c r="C19" s="35"/>
      <c r="D19" s="36">
        <v>40</v>
      </c>
      <c r="E19" s="37" t="s">
        <v>15</v>
      </c>
      <c r="F19" s="23" t="s">
        <v>43</v>
      </c>
      <c r="G19" s="40"/>
      <c r="O19">
        <v>55</v>
      </c>
    </row>
    <row r="20" spans="1:15" x14ac:dyDescent="0.25">
      <c r="A20" s="62">
        <f>IF(ISBLANK(B20),"",_xlfn.ISOWEEKNUM('Journal de travail'!$B20))</f>
        <v>20</v>
      </c>
      <c r="B20" s="30">
        <v>46153</v>
      </c>
      <c r="C20" s="31"/>
      <c r="D20" s="32">
        <v>10</v>
      </c>
      <c r="E20" s="33" t="s">
        <v>17</v>
      </c>
      <c r="F20" s="23" t="s">
        <v>44</v>
      </c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400</v>
      </c>
      <c r="C7">
        <f t="shared" si="0"/>
        <v>520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8 h 40 min</v>
      </c>
      <c r="G7" s="75">
        <f t="shared" ref="G7:G9" si="2">SUM(A7:B7)/$C$11</f>
        <v>0.96296296296296291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20</v>
      </c>
      <c r="C9">
        <f t="shared" si="0"/>
        <v>20</v>
      </c>
      <c r="E9" s="77" t="str">
        <f>'Journal de travail'!M11</f>
        <v>Documentation</v>
      </c>
      <c r="F9" s="74" t="str">
        <f t="shared" si="1"/>
        <v>0 h 20 min</v>
      </c>
      <c r="G9" s="75">
        <f t="shared" si="2"/>
        <v>3.7037037037037035E-2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420</v>
      </c>
      <c r="C11">
        <f>SUM(A11:B11)</f>
        <v>540</v>
      </c>
      <c r="E11" s="81" t="s">
        <v>29</v>
      </c>
      <c r="F11" s="71" t="str">
        <f t="shared" si="1"/>
        <v>9 h 00 min</v>
      </c>
      <c r="G11" s="82">
        <f>C11/C12</f>
        <v>0.1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2026-05-11T09:13:10Z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